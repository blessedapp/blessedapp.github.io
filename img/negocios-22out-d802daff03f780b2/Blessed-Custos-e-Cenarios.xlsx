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Receita" sheetId="2" state="visible" r:id="rId4"/>
    <sheet name="Infraestrutura" sheetId="3" state="visible" r:id="rId5"/>
    <sheet name="Equilibrio" sheetId="4" state="visible" r:id="rId6"/>
    <sheet name="Fontes" sheetId="5" state="visible" r:id="rId7"/>
  </sheets>
  <definedNames>
    <definedName function="false" hidden="false" localSheetId="3" name="_xlnm.Print_Area" vbProcedure="false">Equilibrio!$A$1:$F$11</definedName>
    <definedName function="false" hidden="false" localSheetId="3" name="_xlnm.Print_Titles" vbProcedure="false">Equilibrio!$1:$4</definedName>
    <definedName function="false" hidden="false" localSheetId="4" name="_xlnm.Print_Area" vbProcedure="false">Fontes!$A$1:$F$10</definedName>
    <definedName function="false" hidden="false" localSheetId="4" name="_xlnm.Print_Titles" vbProcedure="false">Fontes!$1:$4</definedName>
    <definedName function="false" hidden="false" localSheetId="2" name="_xlnm.Print_Area" vbProcedure="false">Infraestrutura!$A$1:$F$17</definedName>
    <definedName function="false" hidden="false" localSheetId="2" name="_xlnm.Print_Titles" vbProcedure="false">Infraestrutura!$1:$4</definedName>
    <definedName function="false" hidden="false" localSheetId="0" name="_xlnm.Print_Area" vbProcedure="false">Premissas!$A$1:$F$15</definedName>
    <definedName function="false" hidden="false" localSheetId="0" name="_xlnm.Print_Titles" vbProcedure="false">Premissas!$1:$4</definedName>
    <definedName function="false" hidden="false" localSheetId="1" name="_xlnm.Print_Area" vbProcedure="false">Receita!$A$1:$F$7</definedName>
    <definedName function="false" hidden="false" localSheetId="1" name="_xlnm.Print_Titles" vbProcedure="false">Receita!$1:$4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<sst xmlns="http://schemas.openxmlformats.org/spreadsheetml/2006/main" count="115" uniqueCount="97">
  <si>
    <t xml:space="preserve">BLESSED | Premissas editáveis</t>
  </si>
  <si>
    <t xml:space="preserve">Azul-claro = valor editável. Todos os cenários são hipóteses, não previsão nem resultado atual.</t>
  </si>
  <si>
    <t xml:space="preserve">Premissa</t>
  </si>
  <si>
    <t xml:space="preserve">Valor</t>
  </si>
  <si>
    <t xml:space="preserve">Unidade / condição</t>
  </si>
  <si>
    <t xml:space="preserve">Origem</t>
  </si>
  <si>
    <t xml:space="preserve">Câmbio de planejamento</t>
  </si>
  <si>
    <t xml:space="preserve">R$/US$ — não é cotação</t>
  </si>
  <si>
    <t xml:space="preserve">Hipótese</t>
  </si>
  <si>
    <t xml:space="preserve">Assinatura pessoal</t>
  </si>
  <si>
    <t xml:space="preserve">R$/mês</t>
  </si>
  <si>
    <t xml:space="preserve">Oferta exibida no app</t>
  </si>
  <si>
    <t xml:space="preserve">Assinatura empresa</t>
  </si>
  <si>
    <t xml:space="preserve">Conversão pessoal</t>
  </si>
  <si>
    <t xml:space="preserve">Fração dos ativos mensais</t>
  </si>
  <si>
    <t xml:space="preserve">Conversão empresa</t>
  </si>
  <si>
    <t xml:space="preserve">Reserva de deduções</t>
  </si>
  <si>
    <t xml:space="preserve">Taxas / tributos / reembolsos</t>
  </si>
  <si>
    <t xml:space="preserve">Hipótese; validar com contador</t>
  </si>
  <si>
    <t xml:space="preserve">Custo fixo total do exemplo</t>
  </si>
  <si>
    <t xml:space="preserve">Inclui infraestrutura e operação</t>
  </si>
  <si>
    <t xml:space="preserve">R2 por GB-mês</t>
  </si>
  <si>
    <t xml:space="preserve">US$; Standard</t>
  </si>
  <si>
    <t xml:space="preserve">Cloudflare R2</t>
  </si>
  <si>
    <t xml:space="preserve">Franquia R2</t>
  </si>
  <si>
    <t xml:space="preserve">GB-mês; Standard</t>
  </si>
  <si>
    <t xml:space="preserve">Supabase Pro mínimo</t>
  </si>
  <si>
    <t xml:space="preserve">US$/mês; um projeto Micro</t>
  </si>
  <si>
    <t xml:space="preserve">Supabase oficial</t>
  </si>
  <si>
    <t xml:space="preserve">Workers pago opcional</t>
  </si>
  <si>
    <t xml:space="preserve">US$/mês; mínimo</t>
  </si>
  <si>
    <t xml:space="preserve">Cloudflare Workers</t>
  </si>
  <si>
    <t xml:space="preserve">BLESSED | Cenários de receita</t>
  </si>
  <si>
    <t xml:space="preserve">Receita recorrente hipotética. Não inclui Cine, campanhas, anúncios, lucro ou fatura real.</t>
  </si>
  <si>
    <t xml:space="preserve">Ativos/mês</t>
  </si>
  <si>
    <t xml:space="preserve">Pessoas pagantes</t>
  </si>
  <si>
    <t xml:space="preserve">Empresas pagantes</t>
  </si>
  <si>
    <t xml:space="preserve">Receita bruta R$</t>
  </si>
  <si>
    <t xml:space="preserve">Após deduções R$</t>
  </si>
  <si>
    <t xml:space="preserve">Conversão total</t>
  </si>
  <si>
    <t xml:space="preserve">BLESSED | Exemplo de manutenção técnica</t>
  </si>
  <si>
    <t xml:space="preserve">Exemplo de base leve. Orçamento de serviço não é fatura atual. Câmbio, cotas e reservas são editáveis.</t>
  </si>
  <si>
    <t xml:space="preserve">Item</t>
  </si>
  <si>
    <t xml:space="preserve">Unidade / base</t>
  </si>
  <si>
    <t xml:space="preserve">Custo US$/mês</t>
  </si>
  <si>
    <t xml:space="preserve">Custo R$/mês</t>
  </si>
  <si>
    <t xml:space="preserve">Classificação</t>
  </si>
  <si>
    <t xml:space="preserve">Supabase Pro</t>
  </si>
  <si>
    <t xml:space="preserve">1 projeto</t>
  </si>
  <si>
    <t xml:space="preserve">Referência oficial</t>
  </si>
  <si>
    <t xml:space="preserve">R2 Standard · 100 GB</t>
  </si>
  <si>
    <t xml:space="preserve">100 GB mantidos no mês</t>
  </si>
  <si>
    <t xml:space="preserve">Só armazenamento</t>
  </si>
  <si>
    <t xml:space="preserve">Plano mínimo</t>
  </si>
  <si>
    <t xml:space="preserve">Alternativa a avaliar</t>
  </si>
  <si>
    <t xml:space="preserve">Domínio</t>
  </si>
  <si>
    <t xml:space="preserve">Provisão mensal</t>
  </si>
  <si>
    <t xml:space="preserve">Orçamento</t>
  </si>
  <si>
    <t xml:space="preserve">E-mail transacional</t>
  </si>
  <si>
    <t xml:space="preserve">Reserva mensal</t>
  </si>
  <si>
    <t xml:space="preserve">Monitoramento</t>
  </si>
  <si>
    <t xml:space="preserve">Backup / segurança</t>
  </si>
  <si>
    <t xml:space="preserve">Processamento de mídia</t>
  </si>
  <si>
    <t xml:space="preserve">TOTAL TÉCNICO DO EXEMPLO</t>
  </si>
  <si>
    <t xml:space="preserve">Fora do total: equipe, moderação, marketing, jurídico, taxas de pagamento e tributos. Operações do R2 e usos excedentes não estão calculados neste exemplo. As faixas do PDF são envelopes de planejamento mais amplos.</t>
  </si>
  <si>
    <t xml:space="preserve">BLESSED | Equilíbrio ilustrativo</t>
  </si>
  <si>
    <t xml:space="preserve">Não é previsão. O custo fixo abaixo já deve conter o orçamento técnico para evitar dupla contagem.</t>
  </si>
  <si>
    <t xml:space="preserve">Indicador</t>
  </si>
  <si>
    <t xml:space="preserve">Interpretação</t>
  </si>
  <si>
    <t xml:space="preserve">Custo fixo total R$/mês</t>
  </si>
  <si>
    <t xml:space="preserve">Infraestrutura + pessoas + operação</t>
  </si>
  <si>
    <t xml:space="preserve">Receita bruta do cenário de 10 mil</t>
  </si>
  <si>
    <t xml:space="preserve">200 pessoais + 20 empresas</t>
  </si>
  <si>
    <t xml:space="preserve">Pagantes do cenário</t>
  </si>
  <si>
    <t xml:space="preserve">Assinaturas hipotéticas</t>
  </si>
  <si>
    <t xml:space="preserve">Ticket médio R$/assinante</t>
  </si>
  <si>
    <t xml:space="preserve">Receita bruta dividida por pagantes</t>
  </si>
  <si>
    <t xml:space="preserve">Contribuição R$/assinante</t>
  </si>
  <si>
    <t xml:space="preserve">Após reserva ilustrativa de 12%</t>
  </si>
  <si>
    <t xml:space="preserve">Pagantes para cobrir custo fixo</t>
  </si>
  <si>
    <t xml:space="preserve">Arredondado para cima</t>
  </si>
  <si>
    <t xml:space="preserve">Conversão necessária em 10 mil</t>
  </si>
  <si>
    <t xml:space="preserve">Pagantes divididos por ativos</t>
  </si>
  <si>
    <t xml:space="preserve">BLESSED | Fontes</t>
  </si>
  <si>
    <t xml:space="preserve">Preços consultados em 22/10/2026. Confirmar condições comerciais e faturas antes da contratação.</t>
  </si>
  <si>
    <t xml:space="preserve">Fonte</t>
  </si>
  <si>
    <t xml:space="preserve">Endereço / evidência</t>
  </si>
  <si>
    <t xml:space="preserve">Supabase planos</t>
  </si>
  <si>
    <t xml:space="preserve">https://github.com/supabase/supabase/blob/master/packages/shared-data/plans.ts</t>
  </si>
  <si>
    <t xml:space="preserve">Supabase uso</t>
  </si>
  <si>
    <t xml:space="preserve">https://github.com/supabase/supabase/blob/master/packages/shared-data/pricing.ts</t>
  </si>
  <si>
    <t xml:space="preserve">https://developers.cloudflare.com/r2/pricing/</t>
  </si>
  <si>
    <t xml:space="preserve">https://developers.cloudflare.com/workers/platform/pricing/</t>
  </si>
  <si>
    <t xml:space="preserve">Preços ao usuário</t>
  </si>
  <si>
    <t xml:space="preserve">App Blessed, revisão bb28636, funções vfPrice e cnDetail</t>
  </si>
  <si>
    <t xml:space="preserve">Câmbio / conversão / deduções</t>
  </si>
  <si>
    <t xml:space="preserve">Hipóteses gerenciais; não foram usados como dados históricos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</si>
</sst>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&quot;R$ &quot;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18223B"/>
      <name val="Arial"/>
      <family val="0"/>
      <charset val="1"/>
    </font>
    <font>
      <sz val="10"/>
      <color rgb="FF6270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8223B"/>
      <name val="Arial"/>
      <family val="0"/>
      <charset val="1"/>
    </font>
    <font>
      <b val="true"/>
      <sz val="11"/>
      <color rgb="FF405DF5"/>
      <name val="Arial"/>
      <family val="0"/>
      <charset val="1"/>
    </font>
    <font>
      <b val="true"/>
      <sz val="11"/>
      <color rgb="FF405DF5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5DF5"/>
        <bgColor rgb="FF0066CC"/>
      </patternFill>
    </fill>
    <fill>
      <patternFill patternType="solid">
        <fgColor rgb="FFEDF2FF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D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05DF5"/>
      <rgbColor rgb="FF33CCCC"/>
      <rgbColor rgb="FF99CC00"/>
      <rgbColor rgb="FFFFCC00"/>
      <rgbColor rgb="FFFF9900"/>
      <rgbColor rgb="FFFF6600"/>
      <rgbColor rgb="FF62708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22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github.com/supabase/supabase/blob/master/packages/shared-data/plans.ts" TargetMode="External"/><Relationship Id="rId2" Type="http://schemas.openxmlformats.org/officeDocument/2006/relationships/hyperlink" Target="https://github.com/supabase/supabase/blob/master/packages/shared-data/pricing.ts" TargetMode="External"/><Relationship Id="rId3" Type="http://schemas.openxmlformats.org/officeDocument/2006/relationships/hyperlink" Target="https://developers.cloudflare.com/r2/pricing/" TargetMode="External"/><Relationship Id="rId4" Type="http://schemas.openxmlformats.org/officeDocument/2006/relationships/hyperlink" Target="https://developers.cloudflare.com/workers/platform/pricin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43"/>
    <col collapsed="false" customWidth="true" hidden="false" outlineLevel="0" max="4" min="4" style="0" width="42"/>
    <col collapsed="false" customWidth="true" hidden="false" outlineLevel="0" max="6" min="5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4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7.75" hidden="false" customHeight="true" outlineLevel="0" collapsed="false">
      <c r="A5" s="4" t="s">
        <v>6</v>
      </c>
      <c r="B5" s="5" t="n">
        <v>6</v>
      </c>
      <c r="C5" s="4" t="s">
        <v>7</v>
      </c>
      <c r="D5" s="4" t="s">
        <v>8</v>
      </c>
    </row>
    <row r="6" customFormat="false" ht="27.75" hidden="false" customHeight="true" outlineLevel="0" collapsed="false">
      <c r="A6" s="4" t="s">
        <v>9</v>
      </c>
      <c r="B6" s="5" t="n">
        <v>14.9</v>
      </c>
      <c r="C6" s="4" t="s">
        <v>10</v>
      </c>
      <c r="D6" s="4" t="s">
        <v>11</v>
      </c>
    </row>
    <row r="7" customFormat="false" ht="27.75" hidden="false" customHeight="true" outlineLevel="0" collapsed="false">
      <c r="A7" s="4" t="s">
        <v>12</v>
      </c>
      <c r="B7" s="5" t="n">
        <v>34.9</v>
      </c>
      <c r="C7" s="4" t="s">
        <v>10</v>
      </c>
      <c r="D7" s="4" t="s">
        <v>11</v>
      </c>
    </row>
    <row r="8" customFormat="false" ht="27.75" hidden="false" customHeight="true" outlineLevel="0" collapsed="false">
      <c r="A8" s="4" t="s">
        <v>13</v>
      </c>
      <c r="B8" s="6" t="n">
        <v>0.02</v>
      </c>
      <c r="C8" s="4" t="s">
        <v>14</v>
      </c>
      <c r="D8" s="4" t="s">
        <v>8</v>
      </c>
    </row>
    <row r="9" customFormat="false" ht="27.75" hidden="false" customHeight="true" outlineLevel="0" collapsed="false">
      <c r="A9" s="4" t="s">
        <v>15</v>
      </c>
      <c r="B9" s="6" t="n">
        <v>0.002</v>
      </c>
      <c r="C9" s="4" t="s">
        <v>14</v>
      </c>
      <c r="D9" s="4" t="s">
        <v>8</v>
      </c>
    </row>
    <row r="10" customFormat="false" ht="27.75" hidden="false" customHeight="true" outlineLevel="0" collapsed="false">
      <c r="A10" s="4" t="s">
        <v>16</v>
      </c>
      <c r="B10" s="6" t="n">
        <v>0.12</v>
      </c>
      <c r="C10" s="4" t="s">
        <v>17</v>
      </c>
      <c r="D10" s="4" t="s">
        <v>18</v>
      </c>
    </row>
    <row r="11" customFormat="false" ht="27.75" hidden="false" customHeight="true" outlineLevel="0" collapsed="false">
      <c r="A11" s="4" t="s">
        <v>19</v>
      </c>
      <c r="B11" s="5" t="n">
        <v>8000</v>
      </c>
      <c r="C11" s="4" t="s">
        <v>20</v>
      </c>
      <c r="D11" s="4" t="s">
        <v>8</v>
      </c>
    </row>
    <row r="12" customFormat="false" ht="27.75" hidden="false" customHeight="true" outlineLevel="0" collapsed="false">
      <c r="A12" s="4" t="s">
        <v>21</v>
      </c>
      <c r="B12" s="5" t="n">
        <v>0.015</v>
      </c>
      <c r="C12" s="4" t="s">
        <v>22</v>
      </c>
      <c r="D12" s="4" t="s">
        <v>23</v>
      </c>
    </row>
    <row r="13" customFormat="false" ht="27.75" hidden="false" customHeight="true" outlineLevel="0" collapsed="false">
      <c r="A13" s="4" t="s">
        <v>24</v>
      </c>
      <c r="B13" s="5" t="n">
        <v>10</v>
      </c>
      <c r="C13" s="4" t="s">
        <v>25</v>
      </c>
      <c r="D13" s="4" t="s">
        <v>23</v>
      </c>
    </row>
    <row r="14" customFormat="false" ht="27.75" hidden="false" customHeight="true" outlineLevel="0" collapsed="false">
      <c r="A14" s="4" t="s">
        <v>26</v>
      </c>
      <c r="B14" s="5" t="n">
        <v>25</v>
      </c>
      <c r="C14" s="4" t="s">
        <v>27</v>
      </c>
      <c r="D14" s="4" t="s">
        <v>28</v>
      </c>
    </row>
    <row r="15" customFormat="false" ht="27.75" hidden="false" customHeight="true" outlineLevel="0" collapsed="false">
      <c r="A15" s="4" t="s">
        <v>29</v>
      </c>
      <c r="B15" s="5" t="n">
        <v>5</v>
      </c>
      <c r="C15" s="4" t="s">
        <v>30</v>
      </c>
      <c r="D15" s="4" t="s">
        <v>31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22"/>
  </cols>
  <sheetData>
    <row r="1" customFormat="false" ht="30" hidden="false" customHeight="true" outlineLevel="0" collapsed="false">
      <c r="A1" s="1" t="s">
        <v>32</v>
      </c>
      <c r="B1" s="1"/>
      <c r="C1" s="1"/>
      <c r="D1" s="1"/>
      <c r="E1" s="1"/>
      <c r="F1" s="1"/>
    </row>
    <row r="2" customFormat="false" ht="34.5" hidden="false" customHeight="true" outlineLevel="0" collapsed="false">
      <c r="A2" s="2" t="s">
        <v>33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</row>
    <row r="5" customFormat="false" ht="31.5" hidden="false" customHeight="true" outlineLevel="0" collapsed="false">
      <c r="A5" s="7" t="n">
        <v>1000</v>
      </c>
      <c r="B5" s="4" t="n">
        <f aca="false">ROUNDDOWN(A5*Premissas!$B$8,0)</f>
        <v>20</v>
      </c>
      <c r="C5" s="4" t="n">
        <f aca="false">ROUNDDOWN(A5*Premissas!$B$9,0)</f>
        <v>2</v>
      </c>
      <c r="D5" s="8" t="n">
        <f aca="false">B5*Premissas!$B$6+C5*Premissas!$B$7</f>
        <v>367.8</v>
      </c>
      <c r="E5" s="8" t="n">
        <f aca="false">D5*(1-Premissas!$B$10)</f>
        <v>323.664</v>
      </c>
      <c r="F5" s="9" t="n">
        <f aca="false">(B5+C5)/A5</f>
        <v>0.022</v>
      </c>
    </row>
    <row r="6" customFormat="false" ht="31.5" hidden="false" customHeight="true" outlineLevel="0" collapsed="false">
      <c r="A6" s="7" t="n">
        <v>10000</v>
      </c>
      <c r="B6" s="4" t="n">
        <f aca="false">ROUNDDOWN(A6*Premissas!$B$8,0)</f>
        <v>200</v>
      </c>
      <c r="C6" s="4" t="n">
        <f aca="false">ROUNDDOWN(A6*Premissas!$B$9,0)</f>
        <v>20</v>
      </c>
      <c r="D6" s="8" t="n">
        <f aca="false">B6*Premissas!$B$6+C6*Premissas!$B$7</f>
        <v>3678</v>
      </c>
      <c r="E6" s="8" t="n">
        <f aca="false">D6*(1-Premissas!$B$10)</f>
        <v>3236.64</v>
      </c>
      <c r="F6" s="9" t="n">
        <f aca="false">(B6+C6)/A6</f>
        <v>0.022</v>
      </c>
    </row>
    <row r="7" customFormat="false" ht="31.5" hidden="false" customHeight="true" outlineLevel="0" collapsed="false">
      <c r="A7" s="7" t="n">
        <v>100000</v>
      </c>
      <c r="B7" s="4" t="n">
        <f aca="false">ROUNDDOWN(A7*Premissas!$B$8,0)</f>
        <v>2000</v>
      </c>
      <c r="C7" s="4" t="n">
        <f aca="false">ROUNDDOWN(A7*Premissas!$B$9,0)</f>
        <v>200</v>
      </c>
      <c r="D7" s="8" t="n">
        <f aca="false">B7*Premissas!$B$6+C7*Premissas!$B$7</f>
        <v>36780</v>
      </c>
      <c r="E7" s="8" t="n">
        <f aca="false">D7*(1-Premissas!$B$10)</f>
        <v>32366.4</v>
      </c>
      <c r="F7" s="9" t="n">
        <f aca="false">(B7+C7)/A7</f>
        <v>0.022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22"/>
  </cols>
  <sheetData>
    <row r="1" customFormat="false" ht="30" hidden="false" customHeight="true" outlineLevel="0" collapsed="false">
      <c r="A1" s="1" t="s">
        <v>40</v>
      </c>
      <c r="B1" s="1"/>
      <c r="C1" s="1"/>
      <c r="D1" s="1"/>
      <c r="E1" s="1"/>
      <c r="F1" s="1"/>
    </row>
    <row r="2" customFormat="false" ht="34.5" hidden="false" customHeight="true" outlineLevel="0" collapsed="false">
      <c r="A2" s="2" t="s">
        <v>41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</row>
    <row r="5" customFormat="false" ht="30" hidden="false" customHeight="true" outlineLevel="0" collapsed="false">
      <c r="A5" s="4" t="s">
        <v>47</v>
      </c>
      <c r="B5" s="4" t="s">
        <v>48</v>
      </c>
      <c r="C5" s="4" t="n">
        <f aca="false">Premissas!B14</f>
        <v>25</v>
      </c>
      <c r="D5" s="8" t="n">
        <f aca="false">C5*Premissas!$B$5</f>
        <v>150</v>
      </c>
      <c r="E5" s="4" t="s">
        <v>49</v>
      </c>
    </row>
    <row r="6" customFormat="false" ht="30" hidden="false" customHeight="true" outlineLevel="0" collapsed="false">
      <c r="A6" s="4" t="s">
        <v>50</v>
      </c>
      <c r="B6" s="4" t="s">
        <v>51</v>
      </c>
      <c r="C6" s="4" t="n">
        <f aca="false">MAX(0,100-Premissas!$B$13)*Premissas!$B$12</f>
        <v>1.35</v>
      </c>
      <c r="D6" s="8" t="n">
        <f aca="false">C6*Premissas!$B$5</f>
        <v>8.1</v>
      </c>
      <c r="E6" s="4" t="s">
        <v>52</v>
      </c>
    </row>
    <row r="7" customFormat="false" ht="30" hidden="false" customHeight="true" outlineLevel="0" collapsed="false">
      <c r="A7" s="4" t="s">
        <v>29</v>
      </c>
      <c r="B7" s="4" t="s">
        <v>53</v>
      </c>
      <c r="C7" s="4" t="n">
        <f aca="false">Premissas!B15</f>
        <v>5</v>
      </c>
      <c r="D7" s="8" t="n">
        <f aca="false">C7*Premissas!$B$5</f>
        <v>30</v>
      </c>
      <c r="E7" s="4" t="s">
        <v>54</v>
      </c>
    </row>
    <row r="8" customFormat="false" ht="30" hidden="false" customHeight="true" outlineLevel="0" collapsed="false">
      <c r="A8" s="4" t="s">
        <v>55</v>
      </c>
      <c r="B8" s="4" t="s">
        <v>56</v>
      </c>
      <c r="D8" s="8" t="n">
        <v>5</v>
      </c>
      <c r="E8" s="4" t="s">
        <v>57</v>
      </c>
    </row>
    <row r="9" customFormat="false" ht="30" hidden="false" customHeight="true" outlineLevel="0" collapsed="false">
      <c r="A9" s="4" t="s">
        <v>58</v>
      </c>
      <c r="B9" s="4" t="s">
        <v>59</v>
      </c>
      <c r="D9" s="8" t="n">
        <v>80</v>
      </c>
      <c r="E9" s="4" t="s">
        <v>57</v>
      </c>
    </row>
    <row r="10" customFormat="false" ht="30" hidden="false" customHeight="true" outlineLevel="0" collapsed="false">
      <c r="A10" s="4" t="s">
        <v>60</v>
      </c>
      <c r="B10" s="4" t="s">
        <v>59</v>
      </c>
      <c r="D10" s="8" t="n">
        <v>60</v>
      </c>
      <c r="E10" s="4" t="s">
        <v>57</v>
      </c>
    </row>
    <row r="11" customFormat="false" ht="30" hidden="false" customHeight="true" outlineLevel="0" collapsed="false">
      <c r="A11" s="4" t="s">
        <v>61</v>
      </c>
      <c r="B11" s="4" t="s">
        <v>59</v>
      </c>
      <c r="D11" s="8" t="n">
        <v>60</v>
      </c>
      <c r="E11" s="4" t="s">
        <v>57</v>
      </c>
    </row>
    <row r="12" customFormat="false" ht="30" hidden="false" customHeight="true" outlineLevel="0" collapsed="false">
      <c r="A12" s="4" t="s">
        <v>62</v>
      </c>
      <c r="B12" s="4" t="s">
        <v>59</v>
      </c>
      <c r="D12" s="8" t="n">
        <v>100</v>
      </c>
      <c r="E12" s="4" t="s">
        <v>57</v>
      </c>
    </row>
    <row r="14" customFormat="false" ht="15" hidden="false" customHeight="false" outlineLevel="0" collapsed="false">
      <c r="A14" s="10" t="s">
        <v>63</v>
      </c>
      <c r="D14" s="11" t="n">
        <f aca="false">SUM(D5:D12)</f>
        <v>493.1</v>
      </c>
    </row>
    <row r="16" customFormat="false" ht="15" hidden="false" customHeight="true" outlineLevel="0" collapsed="false">
      <c r="A16" s="12" t="s">
        <v>64</v>
      </c>
      <c r="B16" s="12"/>
      <c r="C16" s="12"/>
      <c r="D16" s="12"/>
      <c r="E16" s="12"/>
      <c r="F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</row>
  </sheetData>
  <mergeCells count="3">
    <mergeCell ref="A1:F1"/>
    <mergeCell ref="A2:F2"/>
    <mergeCell ref="A16:F17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6" min="4" style="0" width="22"/>
  </cols>
  <sheetData>
    <row r="1" customFormat="false" ht="30" hidden="false" customHeight="true" outlineLevel="0" collapsed="false">
      <c r="A1" s="1" t="s">
        <v>65</v>
      </c>
      <c r="B1" s="1"/>
      <c r="C1" s="1"/>
      <c r="D1" s="1"/>
      <c r="E1" s="1"/>
      <c r="F1" s="1"/>
    </row>
    <row r="2" customFormat="false" ht="34.5" hidden="false" customHeight="true" outlineLevel="0" collapsed="false">
      <c r="A2" s="2" t="s">
        <v>66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67</v>
      </c>
      <c r="B4" s="3" t="s">
        <v>3</v>
      </c>
      <c r="C4" s="3" t="s">
        <v>68</v>
      </c>
    </row>
    <row r="5" customFormat="false" ht="30" hidden="false" customHeight="true" outlineLevel="0" collapsed="false">
      <c r="A5" s="4" t="s">
        <v>69</v>
      </c>
      <c r="B5" s="8" t="n">
        <f aca="false">Premissas!B11</f>
        <v>8000</v>
      </c>
      <c r="C5" s="4" t="s">
        <v>70</v>
      </c>
    </row>
    <row r="6" customFormat="false" ht="30" hidden="false" customHeight="true" outlineLevel="0" collapsed="false">
      <c r="A6" s="4" t="s">
        <v>71</v>
      </c>
      <c r="B6" s="8" t="n">
        <f aca="false">Receita!D6</f>
        <v>3678</v>
      </c>
      <c r="C6" s="4" t="s">
        <v>72</v>
      </c>
    </row>
    <row r="7" customFormat="false" ht="30" hidden="false" customHeight="true" outlineLevel="0" collapsed="false">
      <c r="A7" s="4" t="s">
        <v>73</v>
      </c>
      <c r="B7" s="4" t="n">
        <f aca="false">SUM(Receita!B6:C6)</f>
        <v>220</v>
      </c>
      <c r="C7" s="4" t="s">
        <v>74</v>
      </c>
    </row>
    <row r="8" customFormat="false" ht="30" hidden="false" customHeight="true" outlineLevel="0" collapsed="false">
      <c r="A8" s="4" t="s">
        <v>75</v>
      </c>
      <c r="B8" s="8" t="n">
        <f aca="false">B6/B7</f>
        <v>16.7181818181818</v>
      </c>
      <c r="C8" s="4" t="s">
        <v>76</v>
      </c>
    </row>
    <row r="9" customFormat="false" ht="30" hidden="false" customHeight="true" outlineLevel="0" collapsed="false">
      <c r="A9" s="4" t="s">
        <v>77</v>
      </c>
      <c r="B9" s="8" t="n">
        <f aca="false">B8*(1-Premissas!B10)</f>
        <v>14.712</v>
      </c>
      <c r="C9" s="4" t="s">
        <v>78</v>
      </c>
    </row>
    <row r="10" customFormat="false" ht="30" hidden="false" customHeight="true" outlineLevel="0" collapsed="false">
      <c r="A10" s="4" t="s">
        <v>79</v>
      </c>
      <c r="B10" s="4" t="n">
        <f aca="false">ROUNDUP(B5/B9,0)</f>
        <v>544</v>
      </c>
      <c r="C10" s="4" t="s">
        <v>80</v>
      </c>
    </row>
    <row r="11" customFormat="false" ht="30" hidden="false" customHeight="true" outlineLevel="0" collapsed="false">
      <c r="A11" s="4" t="s">
        <v>81</v>
      </c>
      <c r="B11" s="9" t="n">
        <f aca="false">B10/10000</f>
        <v>0.0544</v>
      </c>
      <c r="C11" s="4" t="s">
        <v>82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0"/>
    <col collapsed="false" customWidth="true" hidden="false" outlineLevel="0" max="6" min="3" style="0" width="22"/>
  </cols>
  <sheetData>
    <row r="1" customFormat="false" ht="30" hidden="false" customHeight="true" outlineLevel="0" collapsed="false">
      <c r="A1" s="1" t="s">
        <v>83</v>
      </c>
      <c r="B1" s="1"/>
      <c r="C1" s="1"/>
      <c r="D1" s="1"/>
      <c r="E1" s="1"/>
      <c r="F1" s="1"/>
    </row>
    <row r="2" customFormat="false" ht="34.5" hidden="false" customHeight="true" outlineLevel="0" collapsed="false">
      <c r="A2" s="2" t="s">
        <v>84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85</v>
      </c>
      <c r="B4" s="3" t="s">
        <v>86</v>
      </c>
    </row>
    <row r="5" customFormat="false" ht="30" hidden="false" customHeight="true" outlineLevel="0" collapsed="false">
      <c r="A5" s="4" t="s">
        <v>87</v>
      </c>
      <c r="B5" s="4" t="s">
        <v>88</v>
      </c>
    </row>
    <row r="6" customFormat="false" ht="30" hidden="false" customHeight="true" outlineLevel="0" collapsed="false">
      <c r="A6" s="4" t="s">
        <v>89</v>
      </c>
      <c r="B6" s="4" t="s">
        <v>90</v>
      </c>
    </row>
    <row r="7" customFormat="false" ht="30" hidden="false" customHeight="true" outlineLevel="0" collapsed="false">
      <c r="A7" s="4" t="s">
        <v>23</v>
      </c>
      <c r="B7" s="4" t="s">
        <v>91</v>
      </c>
    </row>
    <row r="8" customFormat="false" ht="30" hidden="false" customHeight="true" outlineLevel="0" collapsed="false">
      <c r="A8" s="4" t="s">
        <v>31</v>
      </c>
      <c r="B8" s="4" t="s">
        <v>92</v>
      </c>
    </row>
    <row r="9" customFormat="false" ht="30" hidden="false" customHeight="true" outlineLevel="0" collapsed="false">
      <c r="A9" s="4" t="s">
        <v>93</v>
      </c>
      <c r="B9" s="4" t="s">
        <v>94</v>
      </c>
    </row>
    <row r="10" customFormat="false" ht="30" hidden="false" customHeight="true" outlineLevel="0" collapsed="false">
      <c r="A10" s="4" t="s">
        <v>95</v>
      </c>
      <c r="B10" s="4" t="s">
        <v>96</v>
      </c>
    </row>
  </sheetData>
  <mergeCells count="2">
    <mergeCell ref="A1:F1"/>
    <mergeCell ref="A2:F2"/>
  </mergeCells>
  <hyperlinks>
    <hyperlink ref="B5" r:id="rId1" display="https://github.com/supabase/supabase/blob/master/packages/shared-data/plans.ts"/>
    <hyperlink ref="B6" r:id="rId2" display="https://github.com/supabase/supabase/blob/master/packages/shared-data/pricing.ts"/>
    <hyperlink ref="B7" r:id="rId3" display="https://developers.cloudflare.com/r2/pricing/"/>
    <hyperlink ref="B8" r:id="rId4" display="https://developers.cloudflare.com/workers/platform/pricing/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2026-10-22T13:52:56Z</dcterms:created>
  <dc:creator>openpyxl</dc:creator>
  <dc:description/>
  <dc:language>en-US</dc:language>
  <cp:lastModifiedBy/>
  <dcterms:modified xsi:type="dcterms:W3CDTF">2026-10-22T13:52:56Z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